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13_ncr:1_{4650A716-83C1-4DAF-A4C0-15D3B569541C}" xr6:coauthVersionLast="47" xr6:coauthVersionMax="47" xr10:uidLastSave="{00000000-0000-0000-0000-000000000000}"/>
  <bookViews>
    <workbookView xWindow="-98" yWindow="-98" windowWidth="21795" windowHeight="13096" xr2:uid="{00000000-000D-0000-FFFF-FFFF00000000}"/>
  </bookViews>
  <sheets>
    <sheet name="BOM_TOTAL_TOTAL_PCB_2026-02-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5" i="1" l="1"/>
  <c r="A36" i="1"/>
  <c r="A37" i="1"/>
  <c r="A32" i="1"/>
  <c r="A33" i="1"/>
  <c r="A34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2" i="1"/>
</calcChain>
</file>

<file path=xl/sharedStrings.xml><?xml version="1.0" encoding="utf-8"?>
<sst xmlns="http://schemas.openxmlformats.org/spreadsheetml/2006/main" count="248" uniqueCount="151">
  <si>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</si>
  <si>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</si>
  <si>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</si>
  <si>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</si>
  <si>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</si>
  <si>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</si>
  <si>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</si>
  <si>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</si>
  <si>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</si>
  <si>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</si>
  <si>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10nF</t>
  </si>
  <si>
    <t>C1=10nF</t>
  </si>
  <si>
    <t>C1206</t>
  </si>
  <si>
    <t>FCC1206B103K500DT</t>
  </si>
  <si>
    <t>FOJAN(富捷)</t>
  </si>
  <si>
    <t>C5137623</t>
  </si>
  <si>
    <t>LCSC</t>
  </si>
  <si>
    <t>100nF</t>
  </si>
  <si>
    <t>C01=100nF,C2=100nF,C4=100nF</t>
  </si>
  <si>
    <t>CL31B104KBCNNNC</t>
  </si>
  <si>
    <t>SAMSUNG(三星)</t>
  </si>
  <si>
    <t>C24497</t>
  </si>
  <si>
    <t>100uF</t>
  </si>
  <si>
    <t>C1=100uF\nFilter Capacitor</t>
  </si>
  <si>
    <t>CAP-SMD_BD6.3-L6.6-W6.6-FD</t>
  </si>
  <si>
    <t>EEEFT1V101AP</t>
  </si>
  <si>
    <t>PANASONIC(松下)</t>
  </si>
  <si>
    <t>C128464</t>
  </si>
  <si>
    <t>1uF</t>
  </si>
  <si>
    <t>C3=1uF</t>
  </si>
  <si>
    <t>CL31B105KBHNNNE</t>
  </si>
  <si>
    <t>C1848</t>
  </si>
  <si>
    <t>10uF</t>
  </si>
  <si>
    <t>C_RST=10uF</t>
  </si>
  <si>
    <t>CAP-SMD_BD4.0-L4.3-W4.3-FD</t>
  </si>
  <si>
    <t>RVT1V100M0405</t>
  </si>
  <si>
    <t>ROQANG(容强)</t>
  </si>
  <si>
    <t>C72485</t>
  </si>
  <si>
    <t>1N4148W</t>
  </si>
  <si>
    <t>D1 1N4148,D2</t>
  </si>
  <si>
    <t>SOD-123_L2.7-W1.6-LS3.7-FD</t>
  </si>
  <si>
    <t/>
  </si>
  <si>
    <t>宏迦橙</t>
  </si>
  <si>
    <t>C7420318</t>
  </si>
  <si>
    <t>SMF5.0A</t>
  </si>
  <si>
    <t>D1 5V_TVS</t>
  </si>
  <si>
    <t>SOD-123FL_L2.7-W1.8-LS3.8-RD</t>
  </si>
  <si>
    <t>C19077497</t>
  </si>
  <si>
    <t>SMAJ10A</t>
  </si>
  <si>
    <t>D2 10V_TVS</t>
  </si>
  <si>
    <t>SMA_L4.4-W2.6-LS5.0-RD</t>
  </si>
  <si>
    <t>宏嘉诚</t>
  </si>
  <si>
    <t>C41376407</t>
  </si>
  <si>
    <t>FPC-05F-20PH20</t>
  </si>
  <si>
    <t>FPC1,FPC2</t>
  </si>
  <si>
    <t>FPC-SMD_20P-P0.50_XUNPU_FPC-05F-20PH20</t>
  </si>
  <si>
    <t>XUNPU(讯普)</t>
  </si>
  <si>
    <t>C2856803</t>
  </si>
  <si>
    <t>NCD1206Y1</t>
  </si>
  <si>
    <t>L0-L1,LED10,LED11,LED12,LED13,LED14,LED15,LED16,LED17,LED18,LED19,LED20,LED21,LED22,LED23,LED24,LED25,LED26,LED27,LED28,LED29,L_GP01,L_GP01,L_GP01,L_GP01,L_GP01,L_GP01,L_GP01,L_GP01,L_GP01,L_GP01,L_GP01,L_GP01,L_GP01,L_GP01,L_GP01,L_GP01,L_GP01,L_GP01,L_GP01,L_GP01,L_GP01,L_GP01,L_GP01,L_GP02,L_GP02,L_GP02,L_GP02,L_GP02,L_GP02,L_GP02,L_GP02,L_GP02,L_GP02,L_GP02,L_GP02,L_GP02,L_GP02,L_GP02,L_GP02,L_GP02,L_GP02,L_GP02,L_GP02,L_GP02,L_GP02,L_GP02,L_GP02</t>
  </si>
  <si>
    <t>LED1206-RD</t>
  </si>
  <si>
    <t>国星光电</t>
  </si>
  <si>
    <t>C93094</t>
  </si>
  <si>
    <t>XL-1608SURC-06</t>
  </si>
  <si>
    <t>POWER_LED</t>
  </si>
  <si>
    <t>LED0603-RD_RED</t>
  </si>
  <si>
    <t>XINGLIGHT(成兴光)</t>
  </si>
  <si>
    <t>C965799</t>
  </si>
  <si>
    <t>510Ω</t>
  </si>
  <si>
    <t>POWER_R=510Ω</t>
  </si>
  <si>
    <t>R1206</t>
  </si>
  <si>
    <t>RC1206FR-07510RL</t>
  </si>
  <si>
    <t>YAGEO(国巨)</t>
  </si>
  <si>
    <t>C114946</t>
  </si>
  <si>
    <t>SI2302DS</t>
  </si>
  <si>
    <t>Q0,Q1,Q2,Q3,Q4,Q5,Q6,Q7,Q8,Q9,Q_LED</t>
  </si>
  <si>
    <t>SOT-23-3_L2.9-W1.3-P1.90-LS2.4-BR</t>
  </si>
  <si>
    <t>TECH PUBLIC(台舟)</t>
  </si>
  <si>
    <t>C5310967</t>
  </si>
  <si>
    <t>10kΩ</t>
  </si>
  <si>
    <t>R1=10kΩ,R5=10kΩ,RP0=10kΩ,RP1=10kΩ,RP2=10kΩ,RP3=10kΩ,RP4=10kΩ,RP5=10kΩ,RP6=10kΩ,RP7=10kΩ,RP8=10kΩ,RP9=10kΩ,RQ_LED=10kΩ,R_IO14=10kΩ</t>
  </si>
  <si>
    <t>RC1206FR-0710KL</t>
  </si>
  <si>
    <t>C132649</t>
  </si>
  <si>
    <t>TS-1088-AR02016</t>
  </si>
  <si>
    <t>Reset_SW</t>
  </si>
  <si>
    <t>SW-SMD_L3.9-W3.0-P4.45</t>
  </si>
  <si>
    <t>C720477</t>
  </si>
  <si>
    <t>100Ω</t>
  </si>
  <si>
    <t>RL0=100Ω,RL1=100Ω,RL2=100Ω,RL3=100Ω,RL4=100Ω,RL5=100Ω,RL6=100Ω,RL7=100Ω,RL8=100Ω,RL9=100Ω,RQ0=100Ω,RQ1=100Ω,RQ2=100Ω,RQ3=100Ω,RQ4=100Ω,RQ5=100Ω,RQ6=100Ω,RQ7=100Ω,RQ8=100Ω,RQ9=100Ω,R_PWM=100Ω</t>
  </si>
  <si>
    <t>RC1206FR-07100RL</t>
  </si>
  <si>
    <t>C137392</t>
  </si>
  <si>
    <t>RV1\nBrightness &amp; \nMain Power Switch,RV2\nPWM Frequency\nAdjustment Switch</t>
  </si>
  <si>
    <t>RES-ADJ-TH_RK09711110EL</t>
  </si>
  <si>
    <t>RK09711110EL</t>
  </si>
  <si>
    <t>ALPSALPINE(阿尔卑斯阿尔派)</t>
  </si>
  <si>
    <t>C470572</t>
  </si>
  <si>
    <t>5.1kΩ</t>
  </si>
  <si>
    <t>R_CC1,R_CC2=5.1kΩ</t>
  </si>
  <si>
    <t>RC1206FR-075K1L</t>
  </si>
  <si>
    <t>C163372</t>
  </si>
  <si>
    <t>4.12Ω</t>
  </si>
  <si>
    <t>R_LED=4.12Ω</t>
  </si>
  <si>
    <t>RC1206FR-074R12L</t>
  </si>
  <si>
    <t>C488825</t>
  </si>
  <si>
    <t>1kΩ</t>
  </si>
  <si>
    <t>R_RST=1kΩ</t>
  </si>
  <si>
    <t>RC1206FR-071KL</t>
  </si>
  <si>
    <t>C131398</t>
  </si>
  <si>
    <t>GT-USB-7010C</t>
  </si>
  <si>
    <t>TYPE-C DC5V</t>
  </si>
  <si>
    <t>USB-C-SMD_GT-USB-7010C</t>
  </si>
  <si>
    <t>G-Switch(品赞)</t>
  </si>
  <si>
    <t>C2843967</t>
  </si>
  <si>
    <t>HS96L03W2C03</t>
  </si>
  <si>
    <t>U1</t>
  </si>
  <si>
    <t>OLED-TH_L27.8-W27.2-P2.54_C9900033791</t>
  </si>
  <si>
    <t>HS(汉昇)</t>
  </si>
  <si>
    <t>C5248080</t>
  </si>
  <si>
    <t>NE556DR-MS</t>
  </si>
  <si>
    <t>U1 NE556</t>
  </si>
  <si>
    <t>SOIC-14_L8.7-W3.9-P1.27-LS6.0-BL</t>
  </si>
  <si>
    <t>MSKSEMI(美森科)</t>
  </si>
  <si>
    <t>C7434190</t>
  </si>
  <si>
    <t>CD4017BM-MS</t>
  </si>
  <si>
    <t>U2 CD4017</t>
  </si>
  <si>
    <t>SOIC-16_L9.9-W3.9-P1.27-LS6.0-BL</t>
  </si>
  <si>
    <t>C7473153</t>
  </si>
  <si>
    <t>PM254-1-19-Z-3.0-C</t>
  </si>
  <si>
    <t>U6</t>
  </si>
  <si>
    <t>HDR-TH_19P-P2.54-V-F</t>
  </si>
  <si>
    <t>HCTL(华灿天禄)</t>
  </si>
  <si>
    <t>U7</t>
  </si>
  <si>
    <t>C5159946</t>
  </si>
  <si>
    <t>拼多多</t>
    <phoneticPr fontId="1" type="noConversion"/>
  </si>
  <si>
    <t>诚芯杰</t>
    <phoneticPr fontId="1" type="noConversion"/>
  </si>
  <si>
    <t>ESP32 38Pins</t>
    <phoneticPr fontId="1" type="noConversion"/>
  </si>
  <si>
    <t>淘宝</t>
    <phoneticPr fontId="1" type="noConversion"/>
  </si>
  <si>
    <t>zave旗舰店</t>
    <phoneticPr fontId="1" type="noConversion"/>
  </si>
  <si>
    <t>0.96寸OLED显示屏模块</t>
    <phoneticPr fontId="1" type="noConversion"/>
  </si>
  <si>
    <t>teiseky数码旗舰店</t>
    <phoneticPr fontId="1" type="noConversion"/>
  </si>
  <si>
    <t>100K RK097NS带开关</t>
    <phoneticPr fontId="1" type="noConversion"/>
  </si>
  <si>
    <t>电子连接器专批店</t>
    <phoneticPr fontId="1" type="noConversion"/>
  </si>
  <si>
    <t>creaby旗舰店</t>
    <phoneticPr fontId="1" type="noConversion"/>
  </si>
  <si>
    <t>FPC软排线20P 线长10CM</t>
    <phoneticPr fontId="1" type="noConversion"/>
  </si>
  <si>
    <t>M3*16+3单头六角铜柱</t>
    <phoneticPr fontId="1" type="noConversion"/>
  </si>
  <si>
    <t>M3铜制螺母</t>
    <phoneticPr fontId="1" type="noConversion"/>
  </si>
  <si>
    <t>M3*8十字沉头螺丝</t>
    <phoneticPr fontId="1" type="noConversion"/>
  </si>
  <si>
    <t>telesky旗舰店</t>
    <phoneticPr fontId="1" type="noConversion"/>
  </si>
  <si>
    <t>1*19P 2.54MM直插单排母</t>
    <phoneticPr fontId="1" type="noConversion"/>
  </si>
  <si>
    <t>M2铜制螺母</t>
    <phoneticPr fontId="1" type="noConversion"/>
  </si>
  <si>
    <t>M2*8十字沉头螺丝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</si>
</sst>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7"/>
  <sheetViews>
    <sheetView tabSelected="1" topLeftCell="A2" zoomScale="85" zoomScaleNormal="85" workbookViewId="0">
      <selection activeCell="J38" sqref="J38"/>
    </sheetView>
  </sheetViews>
  <sheetFormatPr defaultRowHeight="13.5" x14ac:dyDescent="0.3"/>
  <cols>
    <col min="1" max="2" width="5.59765625" style="1" customWidth="1"/>
    <col min="3" max="3" width="25.59765625" style="1" customWidth="1"/>
    <col min="4" max="5" width="40.59765625" style="1" customWidth="1"/>
    <col min="6" max="6" width="10.59765625" style="1" customWidth="1"/>
    <col min="7" max="8" width="20.59765625" style="1" customWidth="1"/>
    <col min="9" max="9" width="12.59765625" style="1" customWidth="1"/>
    <col min="10" max="10" width="20" style="1" customWidth="1"/>
    <col min="11" max="16384" width="9.06640625" style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 x14ac:dyDescent="0.3">
      <c r="A2" s="2">
        <f>ROW()-1</f>
        <v>1</v>
      </c>
      <c r="B2" s="2">
        <v>1</v>
      </c>
      <c r="C2" s="2" t="s">
        <v>10</v>
      </c>
      <c r="D2" s="2" t="s">
        <v>11</v>
      </c>
      <c r="E2" s="2" t="s">
        <v>12</v>
      </c>
      <c r="F2" s="2" t="s">
        <v>10</v>
      </c>
      <c r="G2" s="2" t="s">
        <v>13</v>
      </c>
      <c r="H2" s="2" t="s">
        <v>14</v>
      </c>
      <c r="I2" s="2" t="s">
        <v>15</v>
      </c>
      <c r="J2" s="2" t="s">
        <v>16</v>
      </c>
    </row>
    <row r="3" spans="1:10" s="2" customFormat="1" x14ac:dyDescent="0.3">
      <c r="A3" s="2">
        <f t="shared" ref="A3:A37" si="0">ROW()-1</f>
        <v>2</v>
      </c>
      <c r="B3" s="2">
        <v>3</v>
      </c>
      <c r="C3" s="2" t="s">
        <v>17</v>
      </c>
      <c r="D3" s="2" t="s">
        <v>18</v>
      </c>
      <c r="E3" s="2" t="s">
        <v>12</v>
      </c>
      <c r="F3" s="2" t="s">
        <v>17</v>
      </c>
      <c r="G3" s="2" t="s">
        <v>19</v>
      </c>
      <c r="H3" s="2" t="s">
        <v>20</v>
      </c>
      <c r="I3" s="2" t="s">
        <v>21</v>
      </c>
      <c r="J3" s="2" t="s">
        <v>16</v>
      </c>
    </row>
    <row r="4" spans="1:10" s="2" customFormat="1" x14ac:dyDescent="0.3">
      <c r="A4" s="2">
        <f t="shared" si="0"/>
        <v>3</v>
      </c>
      <c r="B4" s="2">
        <v>1</v>
      </c>
      <c r="C4" s="2" t="s">
        <v>22</v>
      </c>
      <c r="D4" s="2" t="s">
        <v>23</v>
      </c>
      <c r="E4" s="2" t="s">
        <v>24</v>
      </c>
      <c r="F4" s="2" t="s">
        <v>22</v>
      </c>
      <c r="G4" s="2" t="s">
        <v>25</v>
      </c>
      <c r="H4" s="2" t="s">
        <v>26</v>
      </c>
      <c r="I4" s="2" t="s">
        <v>27</v>
      </c>
      <c r="J4" s="2" t="s">
        <v>16</v>
      </c>
    </row>
    <row r="5" spans="1:10" s="2" customFormat="1" x14ac:dyDescent="0.3">
      <c r="A5" s="2">
        <f t="shared" si="0"/>
        <v>4</v>
      </c>
      <c r="B5" s="2">
        <v>1</v>
      </c>
      <c r="C5" s="2" t="s">
        <v>28</v>
      </c>
      <c r="D5" s="2" t="s">
        <v>29</v>
      </c>
      <c r="E5" s="2" t="s">
        <v>12</v>
      </c>
      <c r="F5" s="2" t="s">
        <v>28</v>
      </c>
      <c r="G5" s="2" t="s">
        <v>30</v>
      </c>
      <c r="H5" s="2" t="s">
        <v>20</v>
      </c>
      <c r="I5" s="2" t="s">
        <v>31</v>
      </c>
      <c r="J5" s="2" t="s">
        <v>16</v>
      </c>
    </row>
    <row r="6" spans="1:10" s="2" customFormat="1" x14ac:dyDescent="0.3">
      <c r="A6" s="2">
        <f t="shared" si="0"/>
        <v>5</v>
      </c>
      <c r="B6" s="2">
        <v>1</v>
      </c>
      <c r="C6" s="2" t="s">
        <v>32</v>
      </c>
      <c r="D6" s="2" t="s">
        <v>33</v>
      </c>
      <c r="E6" s="2" t="s">
        <v>34</v>
      </c>
      <c r="F6" s="2" t="s">
        <v>32</v>
      </c>
      <c r="G6" s="2" t="s">
        <v>35</v>
      </c>
      <c r="H6" s="2" t="s">
        <v>36</v>
      </c>
      <c r="I6" s="2" t="s">
        <v>37</v>
      </c>
      <c r="J6" s="2" t="s">
        <v>16</v>
      </c>
    </row>
    <row r="7" spans="1:10" s="2" customFormat="1" x14ac:dyDescent="0.3">
      <c r="A7" s="2">
        <f t="shared" si="0"/>
        <v>6</v>
      </c>
      <c r="B7" s="2">
        <v>2</v>
      </c>
      <c r="C7" s="2" t="s">
        <v>38</v>
      </c>
      <c r="D7" s="2" t="s">
        <v>39</v>
      </c>
      <c r="E7" s="2" t="s">
        <v>40</v>
      </c>
      <c r="F7" s="2" t="s">
        <v>41</v>
      </c>
      <c r="G7" s="2" t="s">
        <v>38</v>
      </c>
      <c r="H7" s="2" t="s">
        <v>42</v>
      </c>
      <c r="I7" s="2" t="s">
        <v>43</v>
      </c>
      <c r="J7" s="2" t="s">
        <v>16</v>
      </c>
    </row>
    <row r="8" spans="1:10" s="2" customFormat="1" x14ac:dyDescent="0.3">
      <c r="A8" s="2">
        <f t="shared" si="0"/>
        <v>7</v>
      </c>
      <c r="B8" s="2">
        <v>1</v>
      </c>
      <c r="C8" s="2" t="s">
        <v>44</v>
      </c>
      <c r="D8" s="2" t="s">
        <v>45</v>
      </c>
      <c r="E8" s="2" t="s">
        <v>46</v>
      </c>
      <c r="F8" s="2" t="s">
        <v>41</v>
      </c>
      <c r="G8" s="2" t="s">
        <v>44</v>
      </c>
      <c r="H8" s="2" t="s">
        <v>42</v>
      </c>
      <c r="I8" s="2" t="s">
        <v>47</v>
      </c>
      <c r="J8" s="2" t="s">
        <v>16</v>
      </c>
    </row>
    <row r="9" spans="1:10" s="2" customFormat="1" x14ac:dyDescent="0.3">
      <c r="A9" s="2">
        <f t="shared" si="0"/>
        <v>8</v>
      </c>
      <c r="B9" s="2">
        <v>1</v>
      </c>
      <c r="C9" s="2" t="s">
        <v>48</v>
      </c>
      <c r="D9" s="2" t="s">
        <v>49</v>
      </c>
      <c r="E9" s="2" t="s">
        <v>50</v>
      </c>
      <c r="F9" s="2" t="s">
        <v>41</v>
      </c>
      <c r="G9" s="2" t="s">
        <v>48</v>
      </c>
      <c r="H9" s="2" t="s">
        <v>51</v>
      </c>
      <c r="I9" s="2" t="s">
        <v>52</v>
      </c>
      <c r="J9" s="2" t="s">
        <v>16</v>
      </c>
    </row>
    <row r="10" spans="1:10" s="2" customFormat="1" x14ac:dyDescent="0.3">
      <c r="A10" s="2">
        <f t="shared" si="0"/>
        <v>9</v>
      </c>
      <c r="B10" s="2">
        <v>2</v>
      </c>
      <c r="C10" s="2" t="s">
        <v>53</v>
      </c>
      <c r="D10" s="2" t="s">
        <v>54</v>
      </c>
      <c r="E10" s="2" t="s">
        <v>55</v>
      </c>
      <c r="F10" s="2" t="s">
        <v>41</v>
      </c>
      <c r="G10" s="2" t="s">
        <v>53</v>
      </c>
      <c r="H10" s="2" t="s">
        <v>56</v>
      </c>
      <c r="I10" s="2" t="s">
        <v>57</v>
      </c>
      <c r="J10" s="2" t="s">
        <v>16</v>
      </c>
    </row>
    <row r="11" spans="1:10" s="2" customFormat="1" x14ac:dyDescent="0.3">
      <c r="A11" s="2">
        <f t="shared" si="0"/>
        <v>10</v>
      </c>
      <c r="B11" s="2">
        <v>68</v>
      </c>
      <c r="C11" s="2" t="s">
        <v>58</v>
      </c>
      <c r="D11" s="2" t="s">
        <v>59</v>
      </c>
      <c r="E11" s="2" t="s">
        <v>60</v>
      </c>
      <c r="F11" s="2" t="s">
        <v>41</v>
      </c>
      <c r="G11" s="2" t="s">
        <v>58</v>
      </c>
      <c r="H11" s="2" t="s">
        <v>61</v>
      </c>
      <c r="I11" s="2" t="s">
        <v>62</v>
      </c>
      <c r="J11" s="2" t="s">
        <v>16</v>
      </c>
    </row>
    <row r="12" spans="1:10" s="2" customFormat="1" x14ac:dyDescent="0.3">
      <c r="A12" s="2">
        <f t="shared" si="0"/>
        <v>11</v>
      </c>
      <c r="B12" s="2">
        <v>1</v>
      </c>
      <c r="C12" s="2" t="s">
        <v>63</v>
      </c>
      <c r="D12" s="2" t="s">
        <v>64</v>
      </c>
      <c r="E12" s="2" t="s">
        <v>65</v>
      </c>
      <c r="F12" s="2" t="s">
        <v>41</v>
      </c>
      <c r="G12" s="2" t="s">
        <v>63</v>
      </c>
      <c r="H12" s="2" t="s">
        <v>66</v>
      </c>
      <c r="I12" s="2" t="s">
        <v>67</v>
      </c>
      <c r="J12" s="2" t="s">
        <v>16</v>
      </c>
    </row>
    <row r="13" spans="1:10" s="2" customFormat="1" x14ac:dyDescent="0.3">
      <c r="A13" s="2">
        <f t="shared" si="0"/>
        <v>12</v>
      </c>
      <c r="B13" s="2">
        <v>1</v>
      </c>
      <c r="C13" s="2" t="s">
        <v>68</v>
      </c>
      <c r="D13" s="2" t="s">
        <v>69</v>
      </c>
      <c r="E13" s="2" t="s">
        <v>70</v>
      </c>
      <c r="F13" s="2" t="s">
        <v>68</v>
      </c>
      <c r="G13" s="2" t="s">
        <v>71</v>
      </c>
      <c r="H13" s="2" t="s">
        <v>72</v>
      </c>
      <c r="I13" s="2" t="s">
        <v>73</v>
      </c>
      <c r="J13" s="2" t="s">
        <v>16</v>
      </c>
    </row>
    <row r="14" spans="1:10" s="2" customFormat="1" x14ac:dyDescent="0.3">
      <c r="A14" s="2">
        <f t="shared" si="0"/>
        <v>13</v>
      </c>
      <c r="B14" s="2">
        <v>11</v>
      </c>
      <c r="C14" s="2" t="s">
        <v>74</v>
      </c>
      <c r="D14" s="2" t="s">
        <v>75</v>
      </c>
      <c r="E14" s="2" t="s">
        <v>76</v>
      </c>
      <c r="F14" s="2" t="s">
        <v>41</v>
      </c>
      <c r="G14" s="2" t="s">
        <v>74</v>
      </c>
      <c r="H14" s="2" t="s">
        <v>77</v>
      </c>
      <c r="I14" s="2" t="s">
        <v>78</v>
      </c>
      <c r="J14" s="2" t="s">
        <v>16</v>
      </c>
    </row>
    <row r="15" spans="1:10" s="2" customFormat="1" x14ac:dyDescent="0.3">
      <c r="A15" s="2">
        <f t="shared" si="0"/>
        <v>14</v>
      </c>
      <c r="B15" s="2">
        <v>14</v>
      </c>
      <c r="C15" s="2" t="s">
        <v>79</v>
      </c>
      <c r="D15" s="2" t="s">
        <v>80</v>
      </c>
      <c r="E15" s="2" t="s">
        <v>70</v>
      </c>
      <c r="F15" s="2" t="s">
        <v>79</v>
      </c>
      <c r="G15" s="2" t="s">
        <v>81</v>
      </c>
      <c r="H15" s="2" t="s">
        <v>72</v>
      </c>
      <c r="I15" s="2" t="s">
        <v>82</v>
      </c>
      <c r="J15" s="2" t="s">
        <v>16</v>
      </c>
    </row>
    <row r="16" spans="1:10" s="2" customFormat="1" x14ac:dyDescent="0.3">
      <c r="A16" s="2">
        <f t="shared" si="0"/>
        <v>15</v>
      </c>
      <c r="B16" s="2">
        <v>1</v>
      </c>
      <c r="C16" s="2" t="s">
        <v>83</v>
      </c>
      <c r="D16" s="2" t="s">
        <v>84</v>
      </c>
      <c r="E16" s="2" t="s">
        <v>85</v>
      </c>
      <c r="F16" s="2" t="s">
        <v>41</v>
      </c>
      <c r="G16" s="2" t="s">
        <v>83</v>
      </c>
      <c r="H16" s="2" t="s">
        <v>56</v>
      </c>
      <c r="I16" s="2" t="s">
        <v>86</v>
      </c>
      <c r="J16" s="2" t="s">
        <v>16</v>
      </c>
    </row>
    <row r="17" spans="1:10" s="2" customFormat="1" x14ac:dyDescent="0.3">
      <c r="A17" s="2">
        <f t="shared" si="0"/>
        <v>16</v>
      </c>
      <c r="B17" s="2">
        <v>21</v>
      </c>
      <c r="C17" s="2" t="s">
        <v>87</v>
      </c>
      <c r="D17" s="2" t="s">
        <v>88</v>
      </c>
      <c r="E17" s="2" t="s">
        <v>70</v>
      </c>
      <c r="F17" s="2" t="s">
        <v>87</v>
      </c>
      <c r="G17" s="2" t="s">
        <v>89</v>
      </c>
      <c r="H17" s="2" t="s">
        <v>72</v>
      </c>
      <c r="I17" s="2" t="s">
        <v>90</v>
      </c>
      <c r="J17" s="2" t="s">
        <v>16</v>
      </c>
    </row>
    <row r="18" spans="1:10" s="2" customFormat="1" x14ac:dyDescent="0.3">
      <c r="A18" s="2">
        <f t="shared" si="0"/>
        <v>17</v>
      </c>
      <c r="B18" s="2">
        <v>2</v>
      </c>
      <c r="C18" s="2" t="s">
        <v>79</v>
      </c>
      <c r="D18" s="2" t="s">
        <v>91</v>
      </c>
      <c r="E18" s="2" t="s">
        <v>92</v>
      </c>
      <c r="F18" s="2" t="s">
        <v>79</v>
      </c>
      <c r="G18" s="2" t="s">
        <v>93</v>
      </c>
      <c r="H18" s="2" t="s">
        <v>94</v>
      </c>
      <c r="I18" s="2" t="s">
        <v>95</v>
      </c>
      <c r="J18" s="2" t="s">
        <v>16</v>
      </c>
    </row>
    <row r="19" spans="1:10" s="2" customFormat="1" x14ac:dyDescent="0.3">
      <c r="A19" s="2">
        <f t="shared" si="0"/>
        <v>18</v>
      </c>
      <c r="B19" s="2">
        <v>2</v>
      </c>
      <c r="C19" s="2" t="s">
        <v>96</v>
      </c>
      <c r="D19" s="2" t="s">
        <v>97</v>
      </c>
      <c r="E19" s="2" t="s">
        <v>70</v>
      </c>
      <c r="F19" s="2" t="s">
        <v>96</v>
      </c>
      <c r="G19" s="2" t="s">
        <v>98</v>
      </c>
      <c r="H19" s="2" t="s">
        <v>72</v>
      </c>
      <c r="I19" s="2" t="s">
        <v>99</v>
      </c>
      <c r="J19" s="2" t="s">
        <v>16</v>
      </c>
    </row>
    <row r="20" spans="1:10" s="2" customFormat="1" x14ac:dyDescent="0.3">
      <c r="A20" s="2">
        <f t="shared" si="0"/>
        <v>19</v>
      </c>
      <c r="B20" s="2">
        <v>1</v>
      </c>
      <c r="C20" s="2" t="s">
        <v>100</v>
      </c>
      <c r="D20" s="2" t="s">
        <v>101</v>
      </c>
      <c r="E20" s="2" t="s">
        <v>70</v>
      </c>
      <c r="F20" s="2" t="s">
        <v>100</v>
      </c>
      <c r="G20" s="2" t="s">
        <v>102</v>
      </c>
      <c r="H20" s="2" t="s">
        <v>72</v>
      </c>
      <c r="I20" s="2" t="s">
        <v>103</v>
      </c>
      <c r="J20" s="2" t="s">
        <v>16</v>
      </c>
    </row>
    <row r="21" spans="1:10" s="2" customFormat="1" x14ac:dyDescent="0.3">
      <c r="A21" s="2">
        <f t="shared" si="0"/>
        <v>20</v>
      </c>
      <c r="B21" s="2">
        <v>1</v>
      </c>
      <c r="C21" s="2" t="s">
        <v>104</v>
      </c>
      <c r="D21" s="2" t="s">
        <v>105</v>
      </c>
      <c r="E21" s="2" t="s">
        <v>70</v>
      </c>
      <c r="F21" s="2" t="s">
        <v>104</v>
      </c>
      <c r="G21" s="2" t="s">
        <v>106</v>
      </c>
      <c r="H21" s="2" t="s">
        <v>72</v>
      </c>
      <c r="I21" s="2" t="s">
        <v>107</v>
      </c>
      <c r="J21" s="2" t="s">
        <v>16</v>
      </c>
    </row>
    <row r="22" spans="1:10" s="2" customFormat="1" x14ac:dyDescent="0.3">
      <c r="A22" s="2">
        <f t="shared" si="0"/>
        <v>21</v>
      </c>
      <c r="B22" s="2">
        <v>1</v>
      </c>
      <c r="C22" s="2" t="s">
        <v>108</v>
      </c>
      <c r="D22" s="2" t="s">
        <v>109</v>
      </c>
      <c r="E22" s="2" t="s">
        <v>110</v>
      </c>
      <c r="F22" s="2" t="s">
        <v>41</v>
      </c>
      <c r="G22" s="2" t="s">
        <v>108</v>
      </c>
      <c r="H22" s="2" t="s">
        <v>111</v>
      </c>
      <c r="I22" s="2" t="s">
        <v>112</v>
      </c>
      <c r="J22" s="2" t="s">
        <v>16</v>
      </c>
    </row>
    <row r="23" spans="1:10" s="2" customFormat="1" x14ac:dyDescent="0.3">
      <c r="A23" s="2">
        <f t="shared" si="0"/>
        <v>22</v>
      </c>
      <c r="B23" s="2">
        <v>1</v>
      </c>
      <c r="C23" s="2" t="s">
        <v>113</v>
      </c>
      <c r="D23" s="2" t="s">
        <v>114</v>
      </c>
      <c r="E23" s="2" t="s">
        <v>115</v>
      </c>
      <c r="F23" s="2" t="s">
        <v>41</v>
      </c>
      <c r="G23" s="2" t="s">
        <v>113</v>
      </c>
      <c r="H23" s="2" t="s">
        <v>116</v>
      </c>
      <c r="I23" s="2" t="s">
        <v>117</v>
      </c>
      <c r="J23" s="2" t="s">
        <v>16</v>
      </c>
    </row>
    <row r="24" spans="1:10" s="2" customFormat="1" x14ac:dyDescent="0.3">
      <c r="A24" s="2">
        <f t="shared" si="0"/>
        <v>23</v>
      </c>
      <c r="B24" s="2">
        <v>1</v>
      </c>
      <c r="C24" s="2" t="s">
        <v>118</v>
      </c>
      <c r="D24" s="2" t="s">
        <v>119</v>
      </c>
      <c r="E24" s="2" t="s">
        <v>120</v>
      </c>
      <c r="F24" s="2" t="s">
        <v>41</v>
      </c>
      <c r="G24" s="2" t="s">
        <v>118</v>
      </c>
      <c r="H24" s="2" t="s">
        <v>121</v>
      </c>
      <c r="I24" s="2" t="s">
        <v>122</v>
      </c>
      <c r="J24" s="2" t="s">
        <v>16</v>
      </c>
    </row>
    <row r="25" spans="1:10" s="2" customFormat="1" x14ac:dyDescent="0.3">
      <c r="A25" s="2">
        <f t="shared" si="0"/>
        <v>24</v>
      </c>
      <c r="B25" s="2">
        <v>1</v>
      </c>
      <c r="C25" s="2" t="s">
        <v>123</v>
      </c>
      <c r="D25" s="2" t="s">
        <v>124</v>
      </c>
      <c r="E25" s="2" t="s">
        <v>125</v>
      </c>
      <c r="F25" s="2" t="s">
        <v>41</v>
      </c>
      <c r="G25" s="2" t="s">
        <v>123</v>
      </c>
      <c r="H25" s="2" t="s">
        <v>121</v>
      </c>
      <c r="I25" s="2" t="s">
        <v>126</v>
      </c>
      <c r="J25" s="2" t="s">
        <v>16</v>
      </c>
    </row>
    <row r="26" spans="1:10" s="2" customFormat="1" x14ac:dyDescent="0.3">
      <c r="A26" s="2">
        <f t="shared" si="0"/>
        <v>25</v>
      </c>
      <c r="B26" s="2">
        <v>1</v>
      </c>
      <c r="C26" s="2" t="s">
        <v>127</v>
      </c>
      <c r="D26" s="2" t="s">
        <v>128</v>
      </c>
      <c r="E26" s="2" t="s">
        <v>129</v>
      </c>
      <c r="F26" s="2" t="s">
        <v>41</v>
      </c>
      <c r="G26" s="2" t="s">
        <v>127</v>
      </c>
      <c r="H26" s="2" t="s">
        <v>130</v>
      </c>
      <c r="I26" s="2" t="s">
        <v>41</v>
      </c>
      <c r="J26" s="2" t="s">
        <v>16</v>
      </c>
    </row>
    <row r="27" spans="1:10" s="2" customFormat="1" x14ac:dyDescent="0.3">
      <c r="A27" s="2">
        <f t="shared" si="0"/>
        <v>26</v>
      </c>
      <c r="B27" s="2">
        <v>1</v>
      </c>
      <c r="C27" s="2" t="s">
        <v>127</v>
      </c>
      <c r="D27" s="2" t="s">
        <v>131</v>
      </c>
      <c r="E27" s="2" t="s">
        <v>129</v>
      </c>
      <c r="F27" s="2" t="s">
        <v>41</v>
      </c>
      <c r="G27" s="2" t="s">
        <v>127</v>
      </c>
      <c r="H27" s="2" t="s">
        <v>130</v>
      </c>
      <c r="I27" s="2" t="s">
        <v>132</v>
      </c>
      <c r="J27" s="2" t="s">
        <v>16</v>
      </c>
    </row>
    <row r="28" spans="1:10" x14ac:dyDescent="0.3">
      <c r="A28" s="1">
        <f t="shared" si="0"/>
        <v>27</v>
      </c>
      <c r="B28" s="1">
        <v>1</v>
      </c>
      <c r="C28" s="1" t="s">
        <v>135</v>
      </c>
      <c r="H28" s="1" t="s">
        <v>134</v>
      </c>
      <c r="J28" s="1" t="s">
        <v>133</v>
      </c>
    </row>
    <row r="29" spans="1:10" x14ac:dyDescent="0.3">
      <c r="A29" s="1">
        <f t="shared" si="0"/>
        <v>28</v>
      </c>
      <c r="B29" s="1">
        <v>1</v>
      </c>
      <c r="C29" s="1" t="s">
        <v>138</v>
      </c>
      <c r="H29" s="1" t="s">
        <v>137</v>
      </c>
      <c r="J29" s="1" t="s">
        <v>136</v>
      </c>
    </row>
    <row r="30" spans="1:10" x14ac:dyDescent="0.3">
      <c r="A30" s="1">
        <f t="shared" si="0"/>
        <v>29</v>
      </c>
      <c r="B30" s="1">
        <v>2</v>
      </c>
      <c r="C30" s="1" t="s">
        <v>140</v>
      </c>
      <c r="H30" s="1" t="s">
        <v>139</v>
      </c>
      <c r="J30" s="1" t="s">
        <v>133</v>
      </c>
    </row>
    <row r="31" spans="1:10" x14ac:dyDescent="0.3">
      <c r="A31" s="1">
        <f t="shared" si="0"/>
        <v>30</v>
      </c>
      <c r="B31" s="1">
        <v>1</v>
      </c>
      <c r="C31" s="1" t="s">
        <v>143</v>
      </c>
      <c r="H31" s="1" t="s">
        <v>141</v>
      </c>
      <c r="J31" s="1" t="s">
        <v>133</v>
      </c>
    </row>
    <row r="32" spans="1:10" x14ac:dyDescent="0.3">
      <c r="A32" s="1">
        <f t="shared" si="0"/>
        <v>31</v>
      </c>
      <c r="B32" s="1">
        <v>4</v>
      </c>
      <c r="C32" s="1" t="s">
        <v>144</v>
      </c>
      <c r="H32" s="1" t="s">
        <v>142</v>
      </c>
      <c r="J32" s="1" t="s">
        <v>136</v>
      </c>
    </row>
    <row r="33" spans="1:10" x14ac:dyDescent="0.3">
      <c r="A33" s="1">
        <f t="shared" si="0"/>
        <v>32</v>
      </c>
      <c r="B33" s="1">
        <v>4</v>
      </c>
      <c r="C33" s="1" t="s">
        <v>145</v>
      </c>
      <c r="H33" s="1" t="s">
        <v>142</v>
      </c>
      <c r="J33" s="1" t="s">
        <v>136</v>
      </c>
    </row>
    <row r="34" spans="1:10" x14ac:dyDescent="0.3">
      <c r="A34" s="1">
        <f t="shared" si="0"/>
        <v>33</v>
      </c>
      <c r="B34" s="1">
        <v>4</v>
      </c>
      <c r="C34" s="1" t="s">
        <v>146</v>
      </c>
      <c r="H34" s="1" t="s">
        <v>142</v>
      </c>
      <c r="J34" s="1" t="s">
        <v>136</v>
      </c>
    </row>
    <row r="35" spans="1:10" x14ac:dyDescent="0.3">
      <c r="A35" s="1">
        <f t="shared" si="0"/>
        <v>34</v>
      </c>
      <c r="B35" s="1">
        <v>4</v>
      </c>
      <c r="C35" s="1" t="s">
        <v>149</v>
      </c>
      <c r="H35" s="1" t="s">
        <v>142</v>
      </c>
      <c r="J35" s="1" t="s">
        <v>136</v>
      </c>
    </row>
    <row r="36" spans="1:10" x14ac:dyDescent="0.3">
      <c r="A36" s="1">
        <f t="shared" si="0"/>
        <v>35</v>
      </c>
      <c r="B36" s="1">
        <v>4</v>
      </c>
      <c r="C36" s="1" t="s">
        <v>150</v>
      </c>
      <c r="H36" s="1" t="s">
        <v>142</v>
      </c>
      <c r="J36" s="1" t="s">
        <v>136</v>
      </c>
    </row>
    <row r="37" spans="1:10" x14ac:dyDescent="0.3">
      <c r="A37" s="1">
        <f t="shared" si="0"/>
        <v>36</v>
      </c>
      <c r="B37" s="1">
        <v>2</v>
      </c>
      <c r="C37" s="1" t="s">
        <v>148</v>
      </c>
      <c r="H37" s="1" t="s">
        <v>147</v>
      </c>
      <c r="J37" s="1" t="s">
        <v>136</v>
      </c>
    </row>
  </sheetData>
  <phoneticPr fontId="1" type="noConversion"/>
  <printOptions gridLines="1"/>
  <pageMargins left="0.7" right="0.7" top="0.75" bottom="0.75" header="0.3" footer="0.3"/>
  <pageSetup scale="61" fitToHeight="0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BOM_TOTAL_TOTAL_PCB_2026-02-24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2026-02-24T08:42:05Z</dcterms:created>
  <dcterms:modified xsi:type="dcterms:W3CDTF">2026-02-24T13:37:26Z</dcterms:modified>
  <cp:category/>
</cp:coreProperties>
</file>